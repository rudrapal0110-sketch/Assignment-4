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7D6F6C5C-1AAD-43C3-8817-14437B15457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" l="1"/>
  <c r="E39" i="1"/>
  <c r="E35" i="1"/>
  <c r="D28" i="1"/>
  <c r="E21" i="1"/>
  <c r="D16" i="1"/>
  <c r="E8" i="1"/>
  <c r="D3" i="1"/>
</calcChain>
</file>

<file path=xl/sharedStrings.xml><?xml version="1.0" encoding="utf-8"?>
<sst xmlns="http://schemas.openxmlformats.org/spreadsheetml/2006/main" count="60" uniqueCount="44">
  <si>
    <t xml:space="preserve">Student Name </t>
  </si>
  <si>
    <t>Marks</t>
  </si>
  <si>
    <t>Riya</t>
  </si>
  <si>
    <t>Siya</t>
  </si>
  <si>
    <t>Raju</t>
  </si>
  <si>
    <t>Rahul</t>
  </si>
  <si>
    <t>Ram</t>
  </si>
  <si>
    <t>Employee</t>
  </si>
  <si>
    <t>Sales</t>
  </si>
  <si>
    <t>Attendance</t>
  </si>
  <si>
    <t>Arjun</t>
  </si>
  <si>
    <t>Simran</t>
  </si>
  <si>
    <t>Rohit</t>
  </si>
  <si>
    <t>Anjali</t>
  </si>
  <si>
    <t>Raj</t>
  </si>
  <si>
    <t>Neha</t>
  </si>
  <si>
    <t>vivek</t>
  </si>
  <si>
    <t>Rani</t>
  </si>
  <si>
    <t>Sneha</t>
  </si>
  <si>
    <t>EmpID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</si>
  <si>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</si>
  <si>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</si>
  <si>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</si>
  <si>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</si>
  <si>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</si>
  <si>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</si>
  <si>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</si>
  <si>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</si>
  <si>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</si>
  <si>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</si>
  <si>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</si>
  <si>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Sales Amount</t>
  </si>
  <si>
    <t>Commission Rate</t>
  </si>
  <si>
    <t>Employee Name</t>
  </si>
  <si>
    <t>Leave Taken</t>
  </si>
  <si>
    <t>Leave Allowed</t>
  </si>
  <si>
    <t>Alex</t>
  </si>
  <si>
    <t>Bob</t>
  </si>
  <si>
    <t>Anna</t>
  </si>
  <si>
    <t>Salary</t>
  </si>
  <si>
    <t>E105</t>
  </si>
  <si>
    <t>E106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</si>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</sst>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1" xfId="0" applyFont="1" applyFill="1" applyBorder="1"/>
    <xf numFmtId="0" fontId="0" fillId="0" borderId="1" xfId="0" applyFont="1" applyBorder="1"/>
    <xf numFmtId="0" fontId="0" fillId="0" borderId="0" xfId="0" applyAlignment="1">
      <alignment wrapText="1"/>
    </xf>
    <xf numFmtId="9" fontId="0" fillId="0" borderId="3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</cellXfs>
  <cellStyles count="1">
    <cellStyle name="Normal" xfId="0" builtinId="0"/>
  </cellStyles>
  <dxfs count="20"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font>
        <b/>
      </font>
      <fill>
        <patternFill patternType="solid">
          <fgColor indexed="64"/>
          <bgColor rgb="FFFFFF00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font>
        <b/>
      </font>
      <fill>
        <patternFill patternType="solid">
          <fgColor indexed="64"/>
          <bgColor rgb="FFFFFF00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8B73A2-4713-4A3A-8B73-F18A265191E0}" name="Table1" displayName="Table1" ref="A1:B6" totalsRowShown="0" headerRowDxfId="19" dataDxfId="18" headerRowBorderDxfId="16" tableBorderDxfId="17" totalsRowBorderDxfId="15">
  <autoFilter ref="A1:B6" xr:uid="{6F8B73A2-4713-4A3A-8B73-F18A265191E0}">
    <filterColumn colId="0" hiddenButton="1"/>
    <filterColumn colId="1" hiddenButton="1"/>
  </autoFilter>
  <tableColumns count="2">
    <tableColumn id="1" xr3:uid="{8FE11ED7-5120-479F-B63D-5230EE495045}" name="Student Name " dataDxfId="14"/>
    <tableColumn id="2" xr3:uid="{884E8168-8155-4851-A9B6-89AEAA0C0C8C}" name="Marks" dataDxfId="1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03E57E-0DFE-4BA4-BE77-FE271E2FABB3}" name="Table13" displayName="Table13" ref="A14:B19" totalsRowShown="0" headerRowDxfId="12" dataDxfId="11" headerRowBorderDxfId="9" tableBorderDxfId="10" totalsRowBorderDxfId="8">
  <autoFilter ref="A14:B19" xr:uid="{1D03E57E-0DFE-4BA4-BE77-FE271E2FABB3}">
    <filterColumn colId="0" hiddenButton="1"/>
    <filterColumn colId="1" hiddenButton="1"/>
  </autoFilter>
  <tableColumns count="2">
    <tableColumn id="1" xr3:uid="{791F8262-5EAC-4E62-B5F4-C24BE6663AA8}" name="Student Name " dataDxfId="7"/>
    <tableColumn id="2" xr3:uid="{1221AFC4-00FE-4979-8E9A-6D2DCE7B3F1D}" name="Marks" dataDxfId="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6541BC-C351-4A79-A6EC-8C2FD8B3E1BF}" name="Table3" displayName="Table3" ref="A27:B31" totalsRowShown="0" headerRowDxfId="5" headerRowBorderDxfId="3" tableBorderDxfId="4" totalsRowBorderDxfId="2">
  <autoFilter ref="A27:B31" xr:uid="{096541BC-C351-4A79-A6EC-8C2FD8B3E1BF}">
    <filterColumn colId="0" hiddenButton="1"/>
    <filterColumn colId="1" hiddenButton="1"/>
  </autoFilter>
  <tableColumns count="2">
    <tableColumn id="1" xr3:uid="{A52F981F-B966-4D73-9E36-C90B2A48C9B1}" name="Sales Amount" dataDxfId="1"/>
    <tableColumn id="2" xr3:uid="{71B875AB-E393-4C7D-85ED-8DDBEC802E37}" name="Commission R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3" workbookViewId="0">
      <selection activeCell="D48" sqref="D48"/>
    </sheetView>
  </sheetViews>
  <sheetFormatPr defaultRowHeight="15"/>
  <cols>
    <col min="1" max="1" width="15.85546875" bestFit="1" customWidth="1"/>
    <col min="2" max="2" width="18.85546875" bestFit="1" customWidth="1"/>
    <col min="3" max="3" width="13" bestFit="1" customWidth="1"/>
    <col min="4" max="4" width="26" customWidth="1"/>
    <col min="5" max="5" width="36.5703125" bestFit="1" customWidth="1"/>
    <col min="9" max="9" width="24.85546875" bestFit="1" customWidth="1"/>
  </cols>
  <sheetData>
    <row r="1" spans="1:5">
      <c r="A1" s="2" t="s">
        <v>0</v>
      </c>
      <c r="B1" s="3" t="s">
        <v>1</v>
      </c>
    </row>
    <row r="2" spans="1:5">
      <c r="A2" s="4" t="s">
        <v>2</v>
      </c>
      <c r="B2" s="5">
        <v>45</v>
      </c>
    </row>
    <row r="3" spans="1:5">
      <c r="A3" s="4" t="s">
        <v>3</v>
      </c>
      <c r="B3" s="5">
        <v>72</v>
      </c>
      <c r="D3" t="str">
        <f>IF(B2&gt;=40,"pass","fail")</f>
        <v>pass</v>
      </c>
    </row>
    <row r="4" spans="1:5">
      <c r="A4" s="4" t="s">
        <v>4</v>
      </c>
      <c r="B4" s="5">
        <v>55</v>
      </c>
    </row>
    <row r="5" spans="1:5">
      <c r="A5" s="4" t="s">
        <v>5</v>
      </c>
      <c r="B5" s="5">
        <v>80</v>
      </c>
    </row>
    <row r="6" spans="1:5">
      <c r="A6" s="6" t="s">
        <v>6</v>
      </c>
      <c r="B6" s="7">
        <v>30</v>
      </c>
    </row>
    <row r="8" spans="1:5" ht="29.25">
      <c r="A8" s="8" t="s">
        <v>7</v>
      </c>
      <c r="B8" s="8" t="s">
        <v>8</v>
      </c>
      <c r="C8" s="8" t="s">
        <v>9</v>
      </c>
      <c r="E8" s="10" t="str">
        <f>IF(AND(B9&gt;40000,C9=0.9),"bonus","no bonus")</f>
        <v>no bonus</v>
      </c>
    </row>
    <row r="9" spans="1:5">
      <c r="A9" s="9" t="s">
        <v>10</v>
      </c>
      <c r="B9" s="9">
        <v>55000</v>
      </c>
      <c r="C9" s="9">
        <v>95</v>
      </c>
    </row>
    <row r="10" spans="1:5">
      <c r="A10" s="9" t="s">
        <v>11</v>
      </c>
      <c r="B10" s="9">
        <v>65000</v>
      </c>
      <c r="C10" s="9">
        <v>85</v>
      </c>
    </row>
    <row r="11" spans="1:5">
      <c r="A11" s="9" t="s">
        <v>12</v>
      </c>
      <c r="B11" s="9">
        <v>30000</v>
      </c>
      <c r="C11" s="9">
        <v>90</v>
      </c>
    </row>
    <row r="12" spans="1:5">
      <c r="A12" s="9" t="s">
        <v>13</v>
      </c>
      <c r="B12" s="9">
        <v>25000</v>
      </c>
      <c r="C12" s="9">
        <v>65</v>
      </c>
    </row>
    <row r="14" spans="1:5">
      <c r="A14" s="2" t="s">
        <v>0</v>
      </c>
      <c r="B14" s="3" t="s">
        <v>1</v>
      </c>
    </row>
    <row r="15" spans="1:5">
      <c r="A15" s="4" t="s">
        <v>14</v>
      </c>
      <c r="B15" s="5">
        <v>85</v>
      </c>
    </row>
    <row r="16" spans="1:5">
      <c r="A16" s="4" t="s">
        <v>15</v>
      </c>
      <c r="B16" s="5">
        <v>96</v>
      </c>
      <c r="D16" t="str">
        <f>IF(B15&gt;=90,"A",IF(B15&gt;=75,"B",IF(B15&gt;=50,"C","fail")))</f>
        <v>B</v>
      </c>
    </row>
    <row r="17" spans="1:5">
      <c r="A17" s="4" t="s">
        <v>16</v>
      </c>
      <c r="B17" s="5">
        <v>57</v>
      </c>
    </row>
    <row r="18" spans="1:5">
      <c r="A18" s="4" t="s">
        <v>17</v>
      </c>
      <c r="B18" s="5">
        <v>92</v>
      </c>
    </row>
    <row r="19" spans="1:5">
      <c r="A19" s="6" t="s">
        <v>18</v>
      </c>
      <c r="B19" s="7">
        <v>75</v>
      </c>
    </row>
    <row r="21" spans="1:5">
      <c r="A21" s="8" t="s">
        <v>19</v>
      </c>
      <c r="B21" s="8" t="s">
        <v>20</v>
      </c>
      <c r="C21" s="8" t="s">
        <v>21</v>
      </c>
      <c r="E21" t="str">
        <f>VLOOKUP("E103",A22:C25,2,FALSE)</f>
        <v>Roshni</v>
      </c>
    </row>
    <row r="22" spans="1:5">
      <c r="A22" s="9" t="s">
        <v>22</v>
      </c>
      <c r="B22" s="9" t="s">
        <v>4</v>
      </c>
      <c r="C22" s="9" t="s">
        <v>23</v>
      </c>
    </row>
    <row r="23" spans="1:5">
      <c r="A23" s="9" t="s">
        <v>24</v>
      </c>
      <c r="B23" s="9" t="s">
        <v>2</v>
      </c>
      <c r="C23" s="9" t="s">
        <v>25</v>
      </c>
    </row>
    <row r="24" spans="1:5">
      <c r="A24" s="9" t="s">
        <v>26</v>
      </c>
      <c r="B24" s="9" t="s">
        <v>27</v>
      </c>
      <c r="C24" s="9" t="s">
        <v>28</v>
      </c>
    </row>
    <row r="25" spans="1:5">
      <c r="A25" s="9" t="s">
        <v>29</v>
      </c>
      <c r="B25" s="9" t="s">
        <v>30</v>
      </c>
      <c r="C25" s="9" t="s">
        <v>8</v>
      </c>
    </row>
    <row r="27" spans="1:5">
      <c r="A27" s="2" t="s">
        <v>31</v>
      </c>
      <c r="B27" s="3" t="s">
        <v>32</v>
      </c>
    </row>
    <row r="28" spans="1:5">
      <c r="A28" s="4">
        <v>0</v>
      </c>
      <c r="B28" s="11">
        <v>0.05</v>
      </c>
      <c r="D28">
        <f>VLOOKUP(45000,A28:B31,2,TRUE)</f>
        <v>0.1</v>
      </c>
    </row>
    <row r="29" spans="1:5">
      <c r="A29" s="4">
        <v>20000</v>
      </c>
      <c r="B29" s="11">
        <v>0.1</v>
      </c>
    </row>
    <row r="30" spans="1:5">
      <c r="A30" s="4">
        <v>50000</v>
      </c>
      <c r="B30" s="11">
        <v>0.15</v>
      </c>
    </row>
    <row r="31" spans="1:5">
      <c r="A31" s="6">
        <v>80000</v>
      </c>
      <c r="B31" s="12">
        <v>0.2</v>
      </c>
    </row>
    <row r="34" spans="1:5">
      <c r="A34" s="8" t="s">
        <v>33</v>
      </c>
      <c r="B34" s="8" t="s">
        <v>34</v>
      </c>
      <c r="C34" s="8" t="s">
        <v>35</v>
      </c>
    </row>
    <row r="35" spans="1:5">
      <c r="A35" s="1" t="s">
        <v>36</v>
      </c>
      <c r="B35" s="1">
        <v>10</v>
      </c>
      <c r="C35" s="1">
        <v>12</v>
      </c>
      <c r="E35" t="str">
        <f>IF(C36&gt;B36,"exceeded","OK")</f>
        <v>exceeded</v>
      </c>
    </row>
    <row r="36" spans="1:5">
      <c r="A36" s="1" t="s">
        <v>37</v>
      </c>
      <c r="B36" s="1">
        <v>10</v>
      </c>
      <c r="C36" s="1">
        <v>15</v>
      </c>
    </row>
    <row r="37" spans="1:5">
      <c r="A37" s="1" t="s">
        <v>38</v>
      </c>
      <c r="B37" s="1">
        <v>8</v>
      </c>
      <c r="C37" s="1">
        <v>12</v>
      </c>
    </row>
    <row r="39" spans="1:5" ht="29.25">
      <c r="E39" s="10" t="e">
        <f>INDEX(B41:B44,MATCH("105",A41:A44,0))</f>
        <v>#N/A</v>
      </c>
    </row>
    <row r="40" spans="1:5">
      <c r="A40" s="8" t="s">
        <v>19</v>
      </c>
      <c r="B40" s="8" t="s">
        <v>39</v>
      </c>
    </row>
    <row r="41" spans="1:5">
      <c r="A41" s="1" t="s">
        <v>29</v>
      </c>
      <c r="B41" s="1">
        <v>55000</v>
      </c>
    </row>
    <row r="42" spans="1:5">
      <c r="A42" s="1" t="s">
        <v>40</v>
      </c>
      <c r="B42" s="1">
        <v>72000</v>
      </c>
    </row>
    <row r="43" spans="1:5">
      <c r="A43" s="1" t="s">
        <v>41</v>
      </c>
      <c r="B43" s="1">
        <v>62000</v>
      </c>
    </row>
    <row r="44" spans="1:5">
      <c r="A44" s="1" t="s">
        <v>24</v>
      </c>
      <c r="B44" s="1">
        <v>41000</v>
      </c>
    </row>
    <row r="47" spans="1:5">
      <c r="A47" s="8" t="s">
        <v>19</v>
      </c>
      <c r="B47" s="8" t="s">
        <v>39</v>
      </c>
    </row>
    <row r="48" spans="1:5">
      <c r="A48" s="1" t="s">
        <v>22</v>
      </c>
      <c r="B48" s="1" t="s">
        <v>25</v>
      </c>
      <c r="D48" t="str">
        <f>_xlfn.XLOOKUP("E303",A48:A51,B48:B51,"not found")</f>
        <v>IT</v>
      </c>
    </row>
    <row r="49" spans="1:2">
      <c r="A49" s="1" t="s">
        <v>42</v>
      </c>
      <c r="B49" s="1" t="s">
        <v>23</v>
      </c>
    </row>
    <row r="50" spans="1:2">
      <c r="A50" s="1" t="s">
        <v>41</v>
      </c>
      <c r="B50" s="1" t="s">
        <v>8</v>
      </c>
    </row>
    <row r="51" spans="1:2">
      <c r="A51" s="1" t="s">
        <v>43</v>
      </c>
      <c r="B51" s="1" t="s">
        <v>28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2025-11-25T11:59:55Z</dcterms:created>
  <dcterms:modified xsi:type="dcterms:W3CDTF">2025-11-25T12:55:34Z</dcterms:modified>
  <cp:category/>
  <cp:contentStatus/>
</cp:coreProperties>
</file>